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tabSelected="1" topLeftCell="W1" workbookViewId="0">
      <selection activeCell="AD15" sqref="AD15"/>
    </sheetView>
  </sheetViews>
  <sheetFormatPr baseColWidth="8" defaultRowHeight="13.8"/>
  <cols>
    <col width="10.77734375" customWidth="1" style="2" min="1" max="1"/>
    <col width="13.5546875" customWidth="1" style="2" min="2" max="2"/>
    <col width="12.5546875" customWidth="1" style="2" min="3" max="3"/>
    <col width="13.109375" customWidth="1" style="2" min="4" max="4"/>
    <col width="14" customWidth="1" style="2" min="6" max="6"/>
    <col width="13.33203125" customWidth="1" style="2" min="7" max="7"/>
    <col width="11.88671875" customWidth="1" style="2" min="10" max="10"/>
    <col width="15.109375" customWidth="1" style="2" min="13" max="13"/>
    <col width="14" customWidth="1" style="2" min="14" max="14"/>
    <col width="13" customWidth="1" style="2" min="21" max="21"/>
    <col width="16.21875" customWidth="1" style="2" min="22" max="22"/>
    <col width="11.5546875" customWidth="1" style="2" min="25" max="25"/>
    <col width="12.5546875" customWidth="1" style="2" min="26" max="27"/>
    <col width="12.77734375" customWidth="1" style="2" min="29" max="29"/>
  </cols>
  <sheetData>
    <row r="1">
      <c r="A1" s="0" t="n">
        <v>1</v>
      </c>
      <c r="C1" s="0" t="inlineStr">
        <is>
          <t>β-actin</t>
        </is>
      </c>
      <c r="D1" s="0" t="inlineStr">
        <is>
          <t>P-PNF-κB</t>
        </is>
      </c>
      <c r="E1" s="0" t="inlineStr">
        <is>
          <t>p-NF-κB</t>
        </is>
      </c>
      <c r="F1" s="0" t="inlineStr">
        <is>
          <t>目的/内参</t>
        </is>
      </c>
      <c r="G1" s="0" t="inlineStr">
        <is>
          <t>归一</t>
        </is>
      </c>
      <c r="H1" s="0">
        <f>AVERAGE(F11,F2,F20)</f>
        <v/>
      </c>
      <c r="J1" s="0" t="n">
        <v>1</v>
      </c>
      <c r="K1" s="0" t="inlineStr">
        <is>
          <t>β-actin</t>
        </is>
      </c>
      <c r="L1" s="0" t="inlineStr">
        <is>
          <t>S100A8</t>
        </is>
      </c>
      <c r="M1" s="0" t="inlineStr">
        <is>
          <t>目的/内参</t>
        </is>
      </c>
      <c r="N1" s="0" t="inlineStr">
        <is>
          <t>归一</t>
        </is>
      </c>
      <c r="O1" s="0">
        <f>AVERAGE(M2,M11,M20)</f>
        <v/>
      </c>
      <c r="R1" s="0" t="n">
        <v>1</v>
      </c>
      <c r="S1" s="0" t="inlineStr">
        <is>
          <t>β-actin</t>
        </is>
      </c>
      <c r="T1" s="0" t="inlineStr">
        <is>
          <t>CD74</t>
        </is>
      </c>
      <c r="U1" s="0" t="inlineStr">
        <is>
          <t>目的/内参</t>
        </is>
      </c>
      <c r="V1" s="0" t="inlineStr">
        <is>
          <t>归一</t>
        </is>
      </c>
      <c r="W1" s="0">
        <f>AVERAGE(U2,U7,U12)</f>
        <v/>
      </c>
      <c r="X1" s="0" t="inlineStr">
        <is>
          <t>HLA-DRα</t>
        </is>
      </c>
      <c r="Y1" s="0" t="inlineStr">
        <is>
          <t>目的/内参</t>
        </is>
      </c>
      <c r="Z1" s="0" t="inlineStr">
        <is>
          <t>归一</t>
        </is>
      </c>
      <c r="AA1" s="0">
        <f>AVERAGE(Y2,Y7,Y12)</f>
        <v/>
      </c>
      <c r="AB1" s="0" t="inlineStr">
        <is>
          <t>S100A8</t>
        </is>
      </c>
      <c r="AC1" s="0" t="inlineStr">
        <is>
          <t>目的/内参</t>
        </is>
      </c>
      <c r="AD1" s="0" t="inlineStr">
        <is>
          <t>归一</t>
        </is>
      </c>
      <c r="AE1" s="0">
        <f>AVERAGE(AC2,AC7,AC12)</f>
        <v/>
      </c>
    </row>
    <row r="2">
      <c r="A2" s="1" t="inlineStr">
        <is>
          <t>siNC</t>
        </is>
      </c>
      <c r="B2" s="0" t="inlineStr">
        <is>
          <t>control</t>
        </is>
      </c>
      <c r="C2" s="0" t="n">
        <v>20183.326</v>
      </c>
      <c r="D2" s="0" t="n">
        <v>11584.69</v>
      </c>
      <c r="E2" s="0" t="n">
        <v>18110.861</v>
      </c>
      <c r="F2" s="0">
        <f>D2/E2</f>
        <v/>
      </c>
      <c r="G2" s="0">
        <f>F2/$H$1</f>
        <v/>
      </c>
      <c r="I2" s="1" t="inlineStr">
        <is>
          <t>siNC</t>
        </is>
      </c>
      <c r="J2" s="0" t="inlineStr">
        <is>
          <t>control</t>
        </is>
      </c>
      <c r="K2" s="0" t="n">
        <v>18357.619</v>
      </c>
      <c r="L2" s="0" t="n">
        <v>14755.912</v>
      </c>
      <c r="M2" s="0">
        <f>L2/K2</f>
        <v/>
      </c>
      <c r="N2" s="0">
        <f>M2/$O$1</f>
        <v/>
      </c>
      <c r="Q2" s="1" t="inlineStr">
        <is>
          <t>siNC</t>
        </is>
      </c>
      <c r="R2" s="0" t="inlineStr">
        <is>
          <t>control</t>
        </is>
      </c>
      <c r="S2" s="0" t="n">
        <v>38135.095</v>
      </c>
      <c r="T2" s="0" t="n">
        <v>37898.045</v>
      </c>
      <c r="U2" s="0">
        <f>T2/S2</f>
        <v/>
      </c>
      <c r="V2" s="0">
        <f>U2/$W$1</f>
        <v/>
      </c>
      <c r="X2" s="0" t="n">
        <v>39199.439</v>
      </c>
      <c r="Y2" s="0">
        <f>X2/S2</f>
        <v/>
      </c>
      <c r="Z2" s="0">
        <f>Y2/$AA$1</f>
        <v/>
      </c>
      <c r="AB2" s="0" t="n">
        <v>27079.409</v>
      </c>
      <c r="AC2" s="0">
        <f>AB2/S2</f>
        <v/>
      </c>
      <c r="AD2" s="0">
        <f>AC2/$AE$1</f>
        <v/>
      </c>
    </row>
    <row r="3">
      <c r="B3" s="0" t="inlineStr">
        <is>
          <t>Triptolide</t>
        </is>
      </c>
      <c r="C3" s="0" t="n">
        <v>19201.79</v>
      </c>
      <c r="D3" s="0" t="n">
        <v>13300.397</v>
      </c>
      <c r="E3" s="0" t="n">
        <v>19672.569</v>
      </c>
      <c r="F3" s="0">
        <f>D3/E3</f>
        <v/>
      </c>
      <c r="G3" s="0">
        <f>F3/$H$1</f>
        <v/>
      </c>
      <c r="J3" s="0" t="inlineStr">
        <is>
          <t>Triptolide</t>
        </is>
      </c>
      <c r="K3" s="0" t="n">
        <v>19306.205</v>
      </c>
      <c r="L3" s="0" t="n">
        <v>15245.569</v>
      </c>
      <c r="M3" s="0">
        <f>L3/K3</f>
        <v/>
      </c>
      <c r="N3" s="0">
        <f>M3/$O$1</f>
        <v/>
      </c>
      <c r="R3" s="0" t="inlineStr">
        <is>
          <t>LPS</t>
        </is>
      </c>
      <c r="S3" s="0" t="n">
        <v>38542.56</v>
      </c>
      <c r="T3" s="0" t="n">
        <v>25652.288</v>
      </c>
      <c r="U3" s="0">
        <f>T3/S3</f>
        <v/>
      </c>
      <c r="V3" s="0">
        <f>U3/$W$1</f>
        <v/>
      </c>
      <c r="X3" s="0" t="n">
        <v>24331.581</v>
      </c>
      <c r="Y3" s="0">
        <f>X3/S3</f>
        <v/>
      </c>
      <c r="Z3" s="0">
        <f>Y3/$AA$1</f>
        <v/>
      </c>
      <c r="AB3" s="0" t="n">
        <v>40562.652</v>
      </c>
      <c r="AC3" s="0">
        <f>AB3/S3</f>
        <v/>
      </c>
      <c r="AD3" s="0">
        <f>AC3/$AE$1</f>
        <v/>
      </c>
    </row>
    <row r="4">
      <c r="B4" s="0" t="inlineStr">
        <is>
          <t>LPS</t>
        </is>
      </c>
      <c r="C4" s="0" t="n">
        <v>19632.569</v>
      </c>
      <c r="D4" s="0" t="n">
        <v>20351.447</v>
      </c>
      <c r="E4" s="0" t="n">
        <v>19607.033</v>
      </c>
      <c r="F4" s="0">
        <f>D4/E4</f>
        <v/>
      </c>
      <c r="G4" s="0">
        <f>F4/$H$1</f>
        <v/>
      </c>
      <c r="J4" s="0" t="inlineStr">
        <is>
          <t>LPS</t>
        </is>
      </c>
      <c r="K4" s="0" t="n">
        <v>19582.619</v>
      </c>
      <c r="L4" s="0" t="n">
        <v>20298.619</v>
      </c>
      <c r="M4" s="0">
        <f>L4/K4</f>
        <v/>
      </c>
      <c r="N4" s="0">
        <f>M4/$O$1</f>
        <v/>
      </c>
      <c r="Q4" s="1" t="inlineStr">
        <is>
          <t>siS100A8</t>
        </is>
      </c>
      <c r="R4" s="0" t="inlineStr">
        <is>
          <t>control</t>
        </is>
      </c>
      <c r="S4" s="0" t="n">
        <v>37767.51</v>
      </c>
      <c r="T4" s="0" t="n">
        <v>38551.945</v>
      </c>
      <c r="U4" s="0">
        <f>T4/S4</f>
        <v/>
      </c>
      <c r="V4" s="0">
        <f>U4/$W$1</f>
        <v/>
      </c>
      <c r="X4" s="0" t="n">
        <v>39757.731</v>
      </c>
      <c r="Y4" s="0">
        <f>X4/S4</f>
        <v/>
      </c>
      <c r="Z4" s="0">
        <f>Y4/$AA$1</f>
        <v/>
      </c>
      <c r="AB4" s="0" t="n">
        <v>16339.832</v>
      </c>
      <c r="AC4" s="0">
        <f>AB4/S4</f>
        <v/>
      </c>
      <c r="AD4" s="0">
        <f>AC4/$AE$1</f>
        <v/>
      </c>
    </row>
    <row r="5">
      <c r="B5" s="0" t="inlineStr">
        <is>
          <t>LPS+Triptolide</t>
        </is>
      </c>
      <c r="C5" s="0" t="n">
        <v>19310.447</v>
      </c>
      <c r="D5" s="0" t="n">
        <v>18967.69</v>
      </c>
      <c r="E5" s="0" t="n">
        <v>19682.276</v>
      </c>
      <c r="F5" s="0">
        <f>D5/E5</f>
        <v/>
      </c>
      <c r="G5" s="0">
        <f>F5/$H$1</f>
        <v/>
      </c>
      <c r="J5" s="0" t="inlineStr">
        <is>
          <t>LPS+Triptolide</t>
        </is>
      </c>
      <c r="K5" s="0" t="n">
        <v>20461.569</v>
      </c>
      <c r="L5" s="0" t="n">
        <v>17696.154</v>
      </c>
      <c r="M5" s="0">
        <f>L5/K5</f>
        <v/>
      </c>
      <c r="N5" s="0">
        <f>M5/$O$1</f>
        <v/>
      </c>
      <c r="R5" s="0" t="inlineStr">
        <is>
          <t>LPS</t>
        </is>
      </c>
      <c r="S5" s="0" t="n">
        <v>34511.853</v>
      </c>
      <c r="T5" s="0" t="n">
        <v>34671.51</v>
      </c>
      <c r="U5" s="0">
        <f>T5/S5</f>
        <v/>
      </c>
      <c r="V5" s="0">
        <f>U5/$W$1</f>
        <v/>
      </c>
      <c r="X5" s="0" t="n">
        <v>33606.095</v>
      </c>
      <c r="Y5" s="0">
        <f>X5/S5</f>
        <v/>
      </c>
      <c r="Z5" s="0">
        <f>Y5/$AA$1</f>
        <v/>
      </c>
      <c r="AB5" s="0" t="n">
        <v>22255.61</v>
      </c>
      <c r="AC5" s="0">
        <f>AB5/S5</f>
        <v/>
      </c>
      <c r="AD5" s="0">
        <f>AC5/$AE$1</f>
        <v/>
      </c>
    </row>
    <row r="6">
      <c r="A6" s="1" t="inlineStr">
        <is>
          <t>siS100A8</t>
        </is>
      </c>
      <c r="B6" s="0" t="inlineStr">
        <is>
          <t>control</t>
        </is>
      </c>
      <c r="C6" s="0" t="n">
        <v>19722.912</v>
      </c>
      <c r="D6" s="0" t="n">
        <v>12978.74</v>
      </c>
      <c r="E6" s="0" t="n">
        <v>18122.033</v>
      </c>
      <c r="F6" s="0">
        <f>D6/E6</f>
        <v/>
      </c>
      <c r="G6" s="0">
        <f>F6/$H$1</f>
        <v/>
      </c>
      <c r="I6" s="1" t="inlineStr">
        <is>
          <t>siS100A8</t>
        </is>
      </c>
      <c r="J6" s="0" t="inlineStr">
        <is>
          <t>control</t>
        </is>
      </c>
      <c r="K6" s="0" t="n">
        <v>19921.497</v>
      </c>
      <c r="L6" s="0" t="n">
        <v>9142.912</v>
      </c>
      <c r="M6" s="0">
        <f>L6/K6</f>
        <v/>
      </c>
      <c r="N6" s="0">
        <f>M6/$O$1</f>
        <v/>
      </c>
      <c r="R6" s="0" t="n">
        <v>2</v>
      </c>
    </row>
    <row r="7">
      <c r="B7" s="0" t="inlineStr">
        <is>
          <t>Triptolide</t>
        </is>
      </c>
      <c r="C7" s="0" t="n">
        <v>18109.447</v>
      </c>
      <c r="D7" s="0" t="n">
        <v>12830.74</v>
      </c>
      <c r="E7" s="0" t="n">
        <v>17915.861</v>
      </c>
      <c r="F7" s="0">
        <f>D7/E7</f>
        <v/>
      </c>
      <c r="G7" s="0">
        <f>F7/$H$1</f>
        <v/>
      </c>
      <c r="J7" s="0" t="inlineStr">
        <is>
          <t>Triptolide</t>
        </is>
      </c>
      <c r="K7" s="0" t="n">
        <v>19513.447</v>
      </c>
      <c r="L7" s="0" t="n">
        <v>8127.376</v>
      </c>
      <c r="M7" s="0">
        <f>L7/K7</f>
        <v/>
      </c>
      <c r="N7" s="0">
        <f>M7/$O$1</f>
        <v/>
      </c>
      <c r="Q7" s="1" t="inlineStr">
        <is>
          <t>siNC</t>
        </is>
      </c>
      <c r="R7" s="0" t="inlineStr">
        <is>
          <t>control</t>
        </is>
      </c>
      <c r="S7" s="0" t="n">
        <v>38736.61</v>
      </c>
      <c r="T7" s="0" t="n">
        <v>37450.752</v>
      </c>
      <c r="U7" s="0">
        <f>T7/S7</f>
        <v/>
      </c>
      <c r="V7" s="0">
        <f>U7/$W$1</f>
        <v/>
      </c>
      <c r="X7" s="0" t="n">
        <v>37715.045</v>
      </c>
      <c r="Y7" s="0">
        <f>X7/S7</f>
        <v/>
      </c>
      <c r="Z7" s="0">
        <f>Y7/$AA$1</f>
        <v/>
      </c>
      <c r="AB7" s="0" t="n">
        <v>29765.874</v>
      </c>
      <c r="AC7" s="0">
        <f>AB7/S7</f>
        <v/>
      </c>
      <c r="AD7" s="0">
        <f>AC7/$AE$1</f>
        <v/>
      </c>
    </row>
    <row r="8">
      <c r="B8" s="0" t="inlineStr">
        <is>
          <t>LPS</t>
        </is>
      </c>
      <c r="C8" s="0" t="n">
        <v>18892.276</v>
      </c>
      <c r="D8" s="0" t="n">
        <v>17380.397</v>
      </c>
      <c r="E8" s="0" t="n">
        <v>19989.276</v>
      </c>
      <c r="F8" s="0">
        <f>D8/E8</f>
        <v/>
      </c>
      <c r="G8" s="0">
        <f>F8/$H$1</f>
        <v/>
      </c>
      <c r="J8" s="0" t="inlineStr">
        <is>
          <t>LPS</t>
        </is>
      </c>
      <c r="K8" s="0" t="n">
        <v>19086.569</v>
      </c>
      <c r="L8" s="0" t="n">
        <v>12144.74</v>
      </c>
      <c r="M8" s="0">
        <f>L8/K8</f>
        <v/>
      </c>
      <c r="N8" s="0">
        <f>M8/$O$1</f>
        <v/>
      </c>
      <c r="R8" s="0" t="inlineStr">
        <is>
          <t>LPS</t>
        </is>
      </c>
      <c r="S8" s="0" t="n">
        <v>39688.51</v>
      </c>
      <c r="T8" s="0" t="n">
        <v>22454.652</v>
      </c>
      <c r="U8" s="0">
        <f>T8/S8</f>
        <v/>
      </c>
      <c r="V8" s="0">
        <f>U8/$W$1</f>
        <v/>
      </c>
      <c r="X8" s="0" t="n">
        <v>21112.459</v>
      </c>
      <c r="Y8" s="0">
        <f>X8/S8</f>
        <v/>
      </c>
      <c r="Z8" s="0">
        <f>Y8/$AA$1</f>
        <v/>
      </c>
      <c r="AB8" s="0" t="n">
        <v>38561.338</v>
      </c>
      <c r="AC8" s="0">
        <f>AB8/S8</f>
        <v/>
      </c>
      <c r="AD8" s="0">
        <f>AC8/$AE$1</f>
        <v/>
      </c>
    </row>
    <row r="9">
      <c r="B9" s="0" t="inlineStr">
        <is>
          <t>LPS+Triptolide</t>
        </is>
      </c>
      <c r="C9" s="0" t="n">
        <v>17692.447</v>
      </c>
      <c r="D9" s="0" t="n">
        <v>13039.205</v>
      </c>
      <c r="E9" s="0" t="n">
        <v>17576.326</v>
      </c>
      <c r="F9" s="0">
        <f>D9/E9</f>
        <v/>
      </c>
      <c r="G9" s="0">
        <f>F9/$H$1</f>
        <v/>
      </c>
      <c r="J9" s="0" t="inlineStr">
        <is>
          <t>LPS+Triptolide</t>
        </is>
      </c>
      <c r="K9" s="0" t="n">
        <v>18674.326</v>
      </c>
      <c r="L9" s="0" t="n">
        <v>11586.376</v>
      </c>
      <c r="M9" s="0">
        <f>L9/K9</f>
        <v/>
      </c>
      <c r="N9" s="0">
        <f>M9/$O$1</f>
        <v/>
      </c>
      <c r="Q9" s="1" t="inlineStr">
        <is>
          <t>siS100A8</t>
        </is>
      </c>
      <c r="R9" s="0" t="inlineStr">
        <is>
          <t>control</t>
        </is>
      </c>
      <c r="S9" s="0" t="n">
        <v>38995.56</v>
      </c>
      <c r="T9" s="0" t="n">
        <v>36804.945</v>
      </c>
      <c r="U9" s="0">
        <f>T9/S9</f>
        <v/>
      </c>
      <c r="V9" s="0">
        <f>U9/$W$1</f>
        <v/>
      </c>
      <c r="X9" s="0" t="n">
        <v>35085.681</v>
      </c>
      <c r="Y9" s="0">
        <f>X9/S9</f>
        <v/>
      </c>
      <c r="Z9" s="0">
        <f>Y9/$AA$1</f>
        <v/>
      </c>
      <c r="AB9" s="0" t="n">
        <v>16343.539</v>
      </c>
      <c r="AC9" s="0">
        <f>AB9/S9</f>
        <v/>
      </c>
      <c r="AD9" s="0">
        <f>AC9/$AE$1</f>
        <v/>
      </c>
    </row>
    <row r="10">
      <c r="A10" s="0" t="n">
        <v>2</v>
      </c>
      <c r="C10" s="0" t="inlineStr">
        <is>
          <t>β-actin</t>
        </is>
      </c>
      <c r="D10" s="0" t="inlineStr">
        <is>
          <t>P-PNF-κB</t>
        </is>
      </c>
      <c r="E10" s="0" t="inlineStr">
        <is>
          <t>p-NF-κB</t>
        </is>
      </c>
      <c r="J10" s="0" t="n">
        <v>2</v>
      </c>
      <c r="K10" s="0" t="inlineStr">
        <is>
          <t>β-actin</t>
        </is>
      </c>
      <c r="L10" s="0" t="inlineStr">
        <is>
          <t>S100A8</t>
        </is>
      </c>
      <c r="R10" s="0" t="inlineStr">
        <is>
          <t>LPS</t>
        </is>
      </c>
      <c r="S10" s="0" t="n">
        <v>36020.388</v>
      </c>
      <c r="T10" s="0" t="n">
        <v>33010.288</v>
      </c>
      <c r="U10" s="0">
        <f>T10/S10</f>
        <v/>
      </c>
      <c r="V10" s="0">
        <f>U10/$W$1</f>
        <v/>
      </c>
      <c r="X10" s="0" t="n">
        <v>30323.702</v>
      </c>
      <c r="Y10" s="0">
        <f>X10/S10</f>
        <v/>
      </c>
      <c r="Z10" s="0">
        <f>Y10/$AA$1</f>
        <v/>
      </c>
      <c r="AB10" s="0" t="n">
        <v>24442.581</v>
      </c>
      <c r="AC10" s="0">
        <f>AB10/S10</f>
        <v/>
      </c>
      <c r="AD10" s="0">
        <f>AC10/$AE$1</f>
        <v/>
      </c>
    </row>
    <row r="11">
      <c r="A11" s="1" t="inlineStr">
        <is>
          <t>siNC</t>
        </is>
      </c>
      <c r="B11" s="0" t="inlineStr">
        <is>
          <t>control</t>
        </is>
      </c>
      <c r="C11" s="0" t="n">
        <v>17433.083</v>
      </c>
      <c r="D11" s="0" t="n">
        <v>9394.619000000001</v>
      </c>
      <c r="E11" s="0" t="n">
        <v>18269.861</v>
      </c>
      <c r="F11" s="0">
        <f>D11/E11</f>
        <v/>
      </c>
      <c r="G11" s="0">
        <f>F11/$H$1</f>
        <v/>
      </c>
      <c r="I11" s="1" t="inlineStr">
        <is>
          <t>siNC</t>
        </is>
      </c>
      <c r="J11" s="0" t="inlineStr">
        <is>
          <t>control</t>
        </is>
      </c>
      <c r="K11" s="0" t="n">
        <v>18736.447</v>
      </c>
      <c r="L11" s="0" t="n">
        <v>15213.69</v>
      </c>
      <c r="M11" s="0">
        <f>L11/K11</f>
        <v/>
      </c>
      <c r="N11" s="0">
        <f>M11/$O$1</f>
        <v/>
      </c>
      <c r="R11" s="0" t="n">
        <v>3</v>
      </c>
    </row>
    <row r="12">
      <c r="B12" s="0" t="inlineStr">
        <is>
          <t>Triptolide</t>
        </is>
      </c>
      <c r="C12" s="0" t="n">
        <v>19433.205</v>
      </c>
      <c r="D12" s="0" t="n">
        <v>9810.276</v>
      </c>
      <c r="E12" s="0" t="n">
        <v>18984.033</v>
      </c>
      <c r="F12" s="0">
        <f>D12/E12</f>
        <v/>
      </c>
      <c r="G12" s="0">
        <f>F12/$H$1</f>
        <v/>
      </c>
      <c r="J12" s="0" t="inlineStr">
        <is>
          <t>Triptolide</t>
        </is>
      </c>
      <c r="K12" s="0" t="n">
        <v>18822.983</v>
      </c>
      <c r="L12" s="0" t="n">
        <v>15948.861</v>
      </c>
      <c r="M12" s="0">
        <f>L12/K12</f>
        <v/>
      </c>
      <c r="N12" s="0">
        <f>M12/$O$1</f>
        <v/>
      </c>
      <c r="Q12" s="1" t="inlineStr">
        <is>
          <t>siNC</t>
        </is>
      </c>
      <c r="R12" s="0" t="inlineStr">
        <is>
          <t>control</t>
        </is>
      </c>
      <c r="S12" s="0" t="n">
        <v>38661.874</v>
      </c>
      <c r="T12" s="0" t="n">
        <v>36977.631</v>
      </c>
      <c r="U12" s="0">
        <f>T12/S12</f>
        <v/>
      </c>
      <c r="V12" s="0">
        <f>U12/$W$1</f>
        <v/>
      </c>
      <c r="X12" s="0" t="n">
        <v>40363.196</v>
      </c>
      <c r="Y12" s="0">
        <f>X12/S12</f>
        <v/>
      </c>
      <c r="Z12" s="0">
        <f>Y12/$AA$1</f>
        <v/>
      </c>
      <c r="AB12" s="0" t="n">
        <v>30741.066</v>
      </c>
      <c r="AC12" s="0">
        <f>AB12/S12</f>
        <v/>
      </c>
      <c r="AD12" s="0">
        <f>AC12/$AE$1</f>
        <v/>
      </c>
    </row>
    <row r="13">
      <c r="B13" s="0" t="inlineStr">
        <is>
          <t>LPS</t>
        </is>
      </c>
      <c r="C13" s="0" t="n">
        <v>19590.861</v>
      </c>
      <c r="D13" s="0" t="n">
        <v>19956.569</v>
      </c>
      <c r="E13" s="0" t="n">
        <v>18273.497</v>
      </c>
      <c r="F13" s="0">
        <f>D13/E13</f>
        <v/>
      </c>
      <c r="G13" s="0">
        <f>F13/$H$1</f>
        <v/>
      </c>
      <c r="J13" s="0" t="inlineStr">
        <is>
          <t>LPS</t>
        </is>
      </c>
      <c r="K13" s="0" t="n">
        <v>18366.276</v>
      </c>
      <c r="L13" s="0" t="n">
        <v>19997.033</v>
      </c>
      <c r="M13" s="0">
        <f>L13/K13</f>
        <v/>
      </c>
      <c r="N13" s="0">
        <f>M13/$O$1</f>
        <v/>
      </c>
      <c r="R13" s="0" t="inlineStr">
        <is>
          <t>LPS</t>
        </is>
      </c>
      <c r="S13" s="0" t="n">
        <v>38342.095</v>
      </c>
      <c r="T13" s="0" t="n">
        <v>23167.631</v>
      </c>
      <c r="U13" s="0">
        <f>T13/S13</f>
        <v/>
      </c>
      <c r="V13" s="0">
        <f>U13/$W$1</f>
        <v/>
      </c>
      <c r="X13" s="0" t="n">
        <v>22105.51</v>
      </c>
      <c r="Y13" s="0">
        <f>X13/S13</f>
        <v/>
      </c>
      <c r="Z13" s="0">
        <f>Y13/$AA$1</f>
        <v/>
      </c>
      <c r="AB13" s="0" t="n">
        <v>39082.702</v>
      </c>
      <c r="AC13" s="0">
        <f>AB13/S13</f>
        <v/>
      </c>
      <c r="AD13" s="0">
        <f>AC13/$AE$1</f>
        <v/>
      </c>
    </row>
    <row r="14">
      <c r="B14" s="0" t="inlineStr">
        <is>
          <t>LPS+Triptolide</t>
        </is>
      </c>
      <c r="C14" s="0" t="n">
        <v>18562.74</v>
      </c>
      <c r="D14" s="0" t="n">
        <v>17446.74</v>
      </c>
      <c r="E14" s="0" t="n">
        <v>19305.447</v>
      </c>
      <c r="F14" s="0">
        <f>D14/E14</f>
        <v/>
      </c>
      <c r="G14" s="0">
        <f>F14/$H$1</f>
        <v/>
      </c>
      <c r="J14" s="0" t="inlineStr">
        <is>
          <t>LPS+Triptolide</t>
        </is>
      </c>
      <c r="K14" s="0" t="n">
        <v>19982.154</v>
      </c>
      <c r="L14" s="0" t="n">
        <v>18062.74</v>
      </c>
      <c r="M14" s="0">
        <f>L14/K14</f>
        <v/>
      </c>
      <c r="N14" s="0">
        <f>M14/$O$1</f>
        <v/>
      </c>
      <c r="Q14" s="1" t="inlineStr">
        <is>
          <t>siS100A8</t>
        </is>
      </c>
      <c r="R14" s="0" t="inlineStr">
        <is>
          <t>control</t>
        </is>
      </c>
      <c r="S14" s="0" t="n">
        <v>39712.56</v>
      </c>
      <c r="T14" s="0" t="n">
        <v>38969.924</v>
      </c>
      <c r="U14" s="0">
        <f>T14/S14</f>
        <v/>
      </c>
      <c r="V14" s="0">
        <f>U14/$W$1</f>
        <v/>
      </c>
      <c r="X14" s="0" t="n">
        <v>36910.51</v>
      </c>
      <c r="Y14" s="0">
        <f>X14/S14</f>
        <v/>
      </c>
      <c r="Z14" s="0">
        <f>Y14/$AA$1</f>
        <v/>
      </c>
      <c r="AB14" s="0" t="n">
        <v>17130.752</v>
      </c>
      <c r="AC14" s="0">
        <f>AB14/S14</f>
        <v/>
      </c>
      <c r="AD14" s="0">
        <f>AC14/$AE$1</f>
        <v/>
      </c>
    </row>
    <row r="15">
      <c r="A15" s="1" t="inlineStr">
        <is>
          <t>siS100A8</t>
        </is>
      </c>
      <c r="B15" s="0" t="inlineStr">
        <is>
          <t>control</t>
        </is>
      </c>
      <c r="C15" s="0" t="n">
        <v>18659.154</v>
      </c>
      <c r="D15" s="0" t="n">
        <v>11454.983</v>
      </c>
      <c r="E15" s="0" t="n">
        <v>17598.326</v>
      </c>
      <c r="F15" s="0">
        <f>D15/E15</f>
        <v/>
      </c>
      <c r="G15" s="0">
        <f>F15/$H$1</f>
        <v/>
      </c>
      <c r="I15" s="1" t="inlineStr">
        <is>
          <t>siS100A8</t>
        </is>
      </c>
      <c r="J15" s="0" t="inlineStr">
        <is>
          <t>control</t>
        </is>
      </c>
      <c r="K15" s="0" t="n">
        <v>18109.569</v>
      </c>
      <c r="L15" s="0" t="n">
        <v>9876.569</v>
      </c>
      <c r="M15" s="0">
        <f>L15/K15</f>
        <v/>
      </c>
      <c r="N15" s="0">
        <f>M15/$O$1</f>
        <v/>
      </c>
      <c r="R15" s="0" t="inlineStr">
        <is>
          <t>LPS</t>
        </is>
      </c>
      <c r="S15" s="0" t="n">
        <v>35582.803</v>
      </c>
      <c r="T15" s="0" t="n">
        <v>32994.167</v>
      </c>
      <c r="U15" s="0">
        <f>T15/S15</f>
        <v/>
      </c>
      <c r="V15" s="0">
        <f>U15/$W$1</f>
        <v/>
      </c>
      <c r="X15" s="0" t="n">
        <v>32009.439</v>
      </c>
      <c r="Y15" s="0">
        <f>X15/S15</f>
        <v/>
      </c>
      <c r="Z15" s="0">
        <f>Y15/$AA$1</f>
        <v/>
      </c>
      <c r="AB15" s="0" t="n">
        <v>24462.61</v>
      </c>
      <c r="AC15" s="0">
        <f>AB15/S15</f>
        <v/>
      </c>
      <c r="AD15" s="0">
        <f>AC15/$AE$1</f>
        <v/>
      </c>
    </row>
    <row r="16">
      <c r="B16" s="0" t="inlineStr">
        <is>
          <t>Triptolide</t>
        </is>
      </c>
      <c r="C16" s="0" t="n">
        <v>18315.033</v>
      </c>
      <c r="D16" s="0" t="n">
        <v>11229.326</v>
      </c>
      <c r="E16" s="0" t="n">
        <v>17830.154</v>
      </c>
      <c r="F16" s="0">
        <f>D16/E16</f>
        <v/>
      </c>
      <c r="G16" s="0">
        <f>F16/$H$1</f>
        <v/>
      </c>
      <c r="J16" s="0" t="inlineStr">
        <is>
          <t>Triptolide</t>
        </is>
      </c>
      <c r="K16" s="0" t="n">
        <v>18795.154</v>
      </c>
      <c r="L16" s="0" t="n">
        <v>9362.325999999999</v>
      </c>
      <c r="M16" s="0">
        <f>L16/K16</f>
        <v/>
      </c>
      <c r="N16" s="0">
        <f>M16/$O$1</f>
        <v/>
      </c>
    </row>
    <row r="17">
      <c r="B17" s="0" t="inlineStr">
        <is>
          <t>LPS</t>
        </is>
      </c>
      <c r="C17" s="0" t="n">
        <v>17225.276</v>
      </c>
      <c r="D17" s="0" t="n">
        <v>15360.397</v>
      </c>
      <c r="E17" s="0" t="n">
        <v>17202.861</v>
      </c>
      <c r="F17" s="0">
        <f>D17/E17</f>
        <v/>
      </c>
      <c r="G17" s="0">
        <f>F17/$H$1</f>
        <v/>
      </c>
      <c r="J17" s="0" t="inlineStr">
        <is>
          <t>LPS</t>
        </is>
      </c>
      <c r="K17" s="0" t="n">
        <v>18392.033</v>
      </c>
      <c r="L17" s="0" t="n">
        <v>11269.326</v>
      </c>
      <c r="M17" s="0">
        <f>L17/K17</f>
        <v/>
      </c>
      <c r="N17" s="0">
        <f>M17/$O$1</f>
        <v/>
      </c>
    </row>
    <row r="18">
      <c r="B18" s="0" t="inlineStr">
        <is>
          <t>LPS+Triptolide</t>
        </is>
      </c>
      <c r="C18" s="0" t="n">
        <v>16457.619</v>
      </c>
      <c r="D18" s="0" t="n">
        <v>11899.154</v>
      </c>
      <c r="E18" s="0" t="n">
        <v>17534.983</v>
      </c>
      <c r="F18" s="0">
        <f>D18/E18</f>
        <v/>
      </c>
      <c r="G18" s="0">
        <f>F18/$H$1</f>
        <v/>
      </c>
      <c r="J18" s="0" t="inlineStr">
        <is>
          <t>LPS+Triptolide</t>
        </is>
      </c>
      <c r="K18" s="0" t="n">
        <v>18302.619</v>
      </c>
      <c r="L18" s="0" t="n">
        <v>11458.79</v>
      </c>
      <c r="M18" s="0">
        <f>L18/K18</f>
        <v/>
      </c>
      <c r="N18" s="0">
        <f>M18/$O$1</f>
        <v/>
      </c>
    </row>
    <row r="19">
      <c r="A19" s="0" t="n">
        <v>3</v>
      </c>
      <c r="C19" s="0" t="inlineStr">
        <is>
          <t>β-actin</t>
        </is>
      </c>
      <c r="D19" s="0" t="inlineStr">
        <is>
          <t>P-PNF-κB</t>
        </is>
      </c>
      <c r="E19" s="0" t="inlineStr">
        <is>
          <t>p-NF-κB</t>
        </is>
      </c>
      <c r="J19" s="0" t="n">
        <v>3</v>
      </c>
      <c r="K19" s="0" t="inlineStr">
        <is>
          <t>β-actin</t>
        </is>
      </c>
      <c r="L19" s="0" t="inlineStr">
        <is>
          <t>S100A8</t>
        </is>
      </c>
    </row>
    <row r="20">
      <c r="A20" s="1" t="inlineStr">
        <is>
          <t>siNC</t>
        </is>
      </c>
      <c r="B20" s="0" t="inlineStr">
        <is>
          <t>control</t>
        </is>
      </c>
      <c r="C20" s="0" t="n">
        <v>19586.569</v>
      </c>
      <c r="D20" s="0" t="n">
        <v>11583.154</v>
      </c>
      <c r="E20" s="0" t="n">
        <v>17069.326</v>
      </c>
      <c r="F20" s="0">
        <f>D20/E20</f>
        <v/>
      </c>
      <c r="G20" s="0">
        <f>F20/$H$1</f>
        <v/>
      </c>
      <c r="I20" s="1" t="inlineStr">
        <is>
          <t>siNC</t>
        </is>
      </c>
      <c r="J20" s="0" t="inlineStr">
        <is>
          <t>control</t>
        </is>
      </c>
      <c r="K20" s="0" t="n">
        <v>19842.497</v>
      </c>
      <c r="L20" s="0" t="n">
        <v>16271.447</v>
      </c>
      <c r="M20" s="0">
        <f>L20/K20</f>
        <v/>
      </c>
      <c r="N20" s="0">
        <f>M20/$O$1</f>
        <v/>
      </c>
    </row>
    <row r="21">
      <c r="B21" s="0" t="inlineStr">
        <is>
          <t>Triptolide</t>
        </is>
      </c>
      <c r="C21" s="0" t="n">
        <v>19707.205</v>
      </c>
      <c r="D21" s="0" t="n">
        <v>12476.983</v>
      </c>
      <c r="E21" s="0" t="n">
        <v>19808.569</v>
      </c>
      <c r="F21" s="0">
        <f>D21/E21</f>
        <v/>
      </c>
      <c r="G21" s="0">
        <f>F21/$H$1</f>
        <v/>
      </c>
      <c r="J21" s="0" t="inlineStr">
        <is>
          <t>Triptolide</t>
        </is>
      </c>
      <c r="K21" s="0" t="n">
        <v>20396.154</v>
      </c>
      <c r="L21" s="0" t="n">
        <v>16018.861</v>
      </c>
      <c r="M21" s="0">
        <f>L21/K21</f>
        <v/>
      </c>
      <c r="N21" s="0">
        <f>M21/$O$1</f>
        <v/>
      </c>
    </row>
    <row r="22">
      <c r="B22" s="0" t="inlineStr">
        <is>
          <t>LPS</t>
        </is>
      </c>
      <c r="C22" s="0" t="n">
        <v>20028.619</v>
      </c>
      <c r="D22" s="0" t="n">
        <v>20438.033</v>
      </c>
      <c r="E22" s="0" t="n">
        <v>19596.154</v>
      </c>
      <c r="F22" s="0">
        <f>D22/E22</f>
        <v/>
      </c>
      <c r="G22" s="0">
        <f>F22/$H$1</f>
        <v/>
      </c>
      <c r="J22" s="0" t="inlineStr">
        <is>
          <t>LPS</t>
        </is>
      </c>
      <c r="K22" s="0" t="n">
        <v>19983.74</v>
      </c>
      <c r="L22" s="0" t="n">
        <v>20396.74</v>
      </c>
      <c r="M22" s="0">
        <f>L22/K22</f>
        <v/>
      </c>
      <c r="N22" s="0">
        <f>M22/$O$1</f>
        <v/>
      </c>
    </row>
    <row r="23">
      <c r="B23" s="0" t="inlineStr">
        <is>
          <t>LPS+Triptolide</t>
        </is>
      </c>
      <c r="C23" s="0" t="n">
        <v>19230.205</v>
      </c>
      <c r="D23" s="0" t="n">
        <v>17392.033</v>
      </c>
      <c r="E23" s="0" t="n">
        <v>19785.619</v>
      </c>
      <c r="F23" s="0">
        <f>D23/E23</f>
        <v/>
      </c>
      <c r="G23" s="0">
        <f>F23/$H$1</f>
        <v/>
      </c>
      <c r="J23" s="0" t="inlineStr">
        <is>
          <t>LPS+Triptolide</t>
        </is>
      </c>
      <c r="K23" s="0" t="n">
        <v>19621.74</v>
      </c>
      <c r="L23" s="0" t="n">
        <v>17574.447</v>
      </c>
      <c r="M23" s="0">
        <f>L23/K23</f>
        <v/>
      </c>
      <c r="N23" s="0">
        <f>M23/$O$1</f>
        <v/>
      </c>
    </row>
    <row r="24">
      <c r="A24" s="1" t="inlineStr">
        <is>
          <t>siS100A8</t>
        </is>
      </c>
      <c r="B24" s="0" t="inlineStr">
        <is>
          <t>control</t>
        </is>
      </c>
      <c r="C24" s="0" t="n">
        <v>18850.619</v>
      </c>
      <c r="D24" s="0" t="n">
        <v>12011.74</v>
      </c>
      <c r="E24" s="0" t="n">
        <v>18067.154</v>
      </c>
      <c r="F24" s="0">
        <f>D24/E24</f>
        <v/>
      </c>
      <c r="G24" s="0">
        <f>F24/$H$1</f>
        <v/>
      </c>
      <c r="I24" s="1" t="inlineStr">
        <is>
          <t>siS100A8</t>
        </is>
      </c>
      <c r="J24" s="0" t="inlineStr">
        <is>
          <t>control</t>
        </is>
      </c>
      <c r="K24" s="0" t="n">
        <v>19601.447</v>
      </c>
      <c r="L24" s="0" t="n">
        <v>9830.619000000001</v>
      </c>
      <c r="M24" s="0">
        <f>L24/K24</f>
        <v/>
      </c>
      <c r="N24" s="0">
        <f>M24/$O$1</f>
        <v/>
      </c>
    </row>
    <row r="25">
      <c r="B25" s="0" t="inlineStr">
        <is>
          <t>Triptolide</t>
        </is>
      </c>
      <c r="C25" s="0" t="n">
        <v>19088.912</v>
      </c>
      <c r="D25" s="0" t="n">
        <v>11308.447</v>
      </c>
      <c r="E25" s="0" t="n">
        <v>18543.276</v>
      </c>
      <c r="F25" s="0">
        <f>D25/E25</f>
        <v/>
      </c>
      <c r="G25" s="0">
        <f>F25/$H$1</f>
        <v/>
      </c>
      <c r="J25" s="0" t="inlineStr">
        <is>
          <t>Triptolide</t>
        </is>
      </c>
      <c r="K25" s="0" t="n">
        <v>19385.74</v>
      </c>
      <c r="L25" s="0" t="n">
        <v>10164.669</v>
      </c>
      <c r="M25" s="0">
        <f>L25/K25</f>
        <v/>
      </c>
      <c r="N25" s="0">
        <f>M25/$O$1</f>
        <v/>
      </c>
    </row>
    <row r="26">
      <c r="B26" s="0" t="inlineStr">
        <is>
          <t>LPS</t>
        </is>
      </c>
      <c r="C26" s="0" t="n">
        <v>18932.861</v>
      </c>
      <c r="D26" s="0" t="n">
        <v>16304.861</v>
      </c>
      <c r="E26" s="0" t="n">
        <v>18808.154</v>
      </c>
      <c r="F26" s="0">
        <f>D26/E26</f>
        <v/>
      </c>
      <c r="G26" s="0">
        <f>F26/$H$1</f>
        <v/>
      </c>
      <c r="J26" s="0" t="inlineStr">
        <is>
          <t>LPS</t>
        </is>
      </c>
      <c r="K26" s="0" t="n">
        <v>19244.497</v>
      </c>
      <c r="L26" s="0" t="n">
        <v>13379.326</v>
      </c>
      <c r="M26" s="0">
        <f>L26/K26</f>
        <v/>
      </c>
      <c r="N26" s="0">
        <f>M26/$O$1</f>
        <v/>
      </c>
    </row>
    <row r="27">
      <c r="B27" s="0" t="inlineStr">
        <is>
          <t>LPS+Triptolide</t>
        </is>
      </c>
      <c r="C27" s="0" t="n">
        <v>17649.205</v>
      </c>
      <c r="D27" s="0" t="n">
        <v>12238.619</v>
      </c>
      <c r="E27" s="0" t="n">
        <v>16069.861</v>
      </c>
      <c r="F27" s="0">
        <f>D27/E27</f>
        <v/>
      </c>
      <c r="G27" s="0">
        <f>F27/$H$1</f>
        <v/>
      </c>
      <c r="J27" s="0" t="inlineStr">
        <is>
          <t>LPS+Triptolide</t>
        </is>
      </c>
      <c r="K27" s="0" t="n">
        <v>18575.497</v>
      </c>
      <c r="L27" s="0" t="n">
        <v>11583.619</v>
      </c>
      <c r="M27" s="0">
        <f>L27/K27</f>
        <v/>
      </c>
      <c r="N27" s="0">
        <f>M27/$O$1</f>
        <v/>
      </c>
    </row>
  </sheetData>
  <mergeCells count="18">
    <mergeCell ref="I24:I27"/>
    <mergeCell ref="Q4:Q5"/>
    <mergeCell ref="Q14:Q15"/>
    <mergeCell ref="A2:A5"/>
    <mergeCell ref="Q9:Q10"/>
    <mergeCell ref="A6:A9"/>
    <mergeCell ref="I11:I14"/>
    <mergeCell ref="A20:A23"/>
    <mergeCell ref="Q12:Q13"/>
    <mergeCell ref="I2:I5"/>
    <mergeCell ref="Q2:Q3"/>
    <mergeCell ref="I6:I9"/>
    <mergeCell ref="I20:I23"/>
    <mergeCell ref="A24:A27"/>
    <mergeCell ref="A11:A14"/>
    <mergeCell ref="A15:A18"/>
    <mergeCell ref="Q7:Q8"/>
    <mergeCell ref="I15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倩倩 崔</dc:creator>
  <dcterms:created xmlns:dcterms="http://purl.org/dc/terms/" xmlns:xsi="http://www.w3.org/2001/XMLSchema-instance" xsi:type="dcterms:W3CDTF">2026-08-10T09:46:41Z</dcterms:created>
  <dcterms:modified xmlns:dcterms="http://purl.org/dc/terms/" xmlns:xsi="http://www.w3.org/2001/XMLSchema-instance" xsi:type="dcterms:W3CDTF">2026-09-11T03:53:25Z</dcterms:modified>
  <cp:lastModifiedBy>倩倩 崔</cp:lastModifiedBy>
</cp:coreProperties>
</file>